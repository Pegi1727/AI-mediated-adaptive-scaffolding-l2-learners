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chievement_Scores" sheetId="1" state="visible" r:id="rId1"/>
    <sheet xmlns:r="http://schemas.openxmlformats.org/officeDocument/2006/relationships" name="Questionnaire_Item_Summary" sheetId="2" state="visible" r:id="rId2"/>
    <sheet xmlns:r="http://schemas.openxmlformats.org/officeDocument/2006/relationships" name="Statistical_Summary" sheetId="3" state="visible" r:id="rId3"/>
    <sheet xmlns:r="http://schemas.openxmlformats.org/officeDocument/2006/relationships" name="Data_Notes" sheetId="4" state="visible" r:id="rId4"/>
  </sheets>
  <definedNames>
    <definedName name="_xlnm._FilterDatabase" localSheetId="0" hidden="1">'Raw_Achievement_Scores'!$A$1:$D$51</definedName>
    <definedName name="_xlnm._FilterDatabase" localSheetId="1" hidden="1">'Questionnaire_Item_Summary'!$A$1:$H$21</definedName>
    <definedName name="_xlnm._FilterDatabase" localSheetId="2" hidden="1">'Statistical_Summary'!$A$1:$E$18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0000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202020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B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2" fillId="0" borderId="1" applyAlignment="1" pivotButton="0" quotePrefix="0" xfId="0">
      <alignment vertical="top" wrapText="1"/>
    </xf>
    <xf numFmtId="165" fontId="2" fillId="3" borderId="1" applyAlignment="1" pivotButton="0" quotePrefix="0" xfId="0">
      <alignment vertical="top" wrapText="1"/>
    </xf>
    <xf numFmtId="0" fontId="3" fillId="4" borderId="0" applyAlignment="1" pivotButton="0" quotePrefix="0" xfId="0">
      <alignment vertical="center" wrapText="1"/>
    </xf>
    <xf numFmtId="2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chievementTable" displayName="AchievementTable" ref="A1:D51" headerRowCount="1">
  <autoFilter ref="A1:D51"/>
  <tableColumns count="4">
    <tableColumn id="1" name="Student_ID"/>
    <tableColumn id="2" name="Pre_Test"/>
    <tableColumn id="3" name="Post_Test"/>
    <tableColumn id="4" name="Gai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QuestionnaireItemsTable" displayName="QuestionnaireItemsTable" ref="A1:F13" headerRowCount="1">
  <autoFilter ref="A1:F13"/>
  <tableColumns count="6">
    <tableColumn id="1" name="Item_Number"/>
    <tableColumn id="2" name="Subscale"/>
    <tableColumn id="3" name="Item_Statement_FA"/>
    <tableColumn id="4" name="Item_Statement_EN"/>
    <tableColumn id="5" name="Affirmative_Percentage"/>
    <tableColumn id="6" name="Estimated_Count_N50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 ht="30" customHeight="1">
      <c r="A1" s="1" t="inlineStr">
        <is>
          <t>Student_ID</t>
        </is>
      </c>
      <c r="B1" s="1" t="inlineStr">
        <is>
          <t>Pre_Test</t>
        </is>
      </c>
      <c r="C1" s="1" t="inlineStr">
        <is>
          <t>Post_Test</t>
        </is>
      </c>
      <c r="D1" s="1" t="inlineStr">
        <is>
          <t>Gain</t>
        </is>
      </c>
    </row>
    <row r="2">
      <c r="A2" s="2" t="inlineStr">
        <is>
          <t>S1</t>
        </is>
      </c>
      <c r="B2" s="3" t="n">
        <v>14</v>
      </c>
      <c r="C2" s="3" t="n">
        <v>18</v>
      </c>
      <c r="D2" s="3">
        <f>C2-B2</f>
        <v/>
      </c>
    </row>
    <row r="3">
      <c r="A3" s="4" t="inlineStr">
        <is>
          <t>S2</t>
        </is>
      </c>
      <c r="B3" s="5" t="n">
        <v>13</v>
      </c>
      <c r="C3" s="5" t="n">
        <v>16</v>
      </c>
      <c r="D3" s="5">
        <f>C3-B3</f>
        <v/>
      </c>
    </row>
    <row r="4">
      <c r="A4" s="2" t="inlineStr">
        <is>
          <t>S3</t>
        </is>
      </c>
      <c r="B4" s="3" t="n">
        <v>11</v>
      </c>
      <c r="C4" s="3" t="n">
        <v>15</v>
      </c>
      <c r="D4" s="3">
        <f>C4-B4</f>
        <v/>
      </c>
    </row>
    <row r="5">
      <c r="A5" s="4" t="inlineStr">
        <is>
          <t>S4</t>
        </is>
      </c>
      <c r="B5" s="5" t="n">
        <v>16</v>
      </c>
      <c r="C5" s="5" t="n">
        <v>19</v>
      </c>
      <c r="D5" s="5">
        <f>C5-B5</f>
        <v/>
      </c>
    </row>
    <row r="6">
      <c r="A6" s="2" t="inlineStr">
        <is>
          <t>S5</t>
        </is>
      </c>
      <c r="B6" s="3" t="n">
        <v>18</v>
      </c>
      <c r="C6" s="3" t="n">
        <v>20</v>
      </c>
      <c r="D6" s="3">
        <f>C6-B6</f>
        <v/>
      </c>
    </row>
    <row r="7">
      <c r="A7" s="4" t="inlineStr">
        <is>
          <t>S6</t>
        </is>
      </c>
      <c r="B7" s="5" t="n">
        <v>14</v>
      </c>
      <c r="C7" s="5" t="n">
        <v>18</v>
      </c>
      <c r="D7" s="5">
        <f>C7-B7</f>
        <v/>
      </c>
    </row>
    <row r="8">
      <c r="A8" s="2" t="inlineStr">
        <is>
          <t>S7</t>
        </is>
      </c>
      <c r="B8" s="3" t="n">
        <v>14</v>
      </c>
      <c r="C8" s="3" t="n">
        <v>17</v>
      </c>
      <c r="D8" s="3">
        <f>C8-B8</f>
        <v/>
      </c>
    </row>
    <row r="9">
      <c r="A9" s="4" t="inlineStr">
        <is>
          <t>S8</t>
        </is>
      </c>
      <c r="B9" s="5" t="n">
        <v>13.5</v>
      </c>
      <c r="C9" s="5" t="n">
        <v>17.5</v>
      </c>
      <c r="D9" s="5">
        <f>C9-B9</f>
        <v/>
      </c>
    </row>
    <row r="10">
      <c r="A10" s="2" t="inlineStr">
        <is>
          <t>S9</t>
        </is>
      </c>
      <c r="B10" s="3" t="n">
        <v>14.75</v>
      </c>
      <c r="C10" s="3" t="n">
        <v>17.75</v>
      </c>
      <c r="D10" s="3">
        <f>C10-B10</f>
        <v/>
      </c>
    </row>
    <row r="11">
      <c r="A11" s="4" t="inlineStr">
        <is>
          <t>S10</t>
        </is>
      </c>
      <c r="B11" s="5" t="n">
        <v>15.5</v>
      </c>
      <c r="C11" s="5" t="n">
        <v>18.5</v>
      </c>
      <c r="D11" s="5">
        <f>C11-B11</f>
        <v/>
      </c>
    </row>
    <row r="12">
      <c r="A12" s="2" t="inlineStr">
        <is>
          <t>S11</t>
        </is>
      </c>
      <c r="B12" s="3" t="n">
        <v>17</v>
      </c>
      <c r="C12" s="3" t="n">
        <v>20</v>
      </c>
      <c r="D12" s="3">
        <f>C12-B12</f>
        <v/>
      </c>
    </row>
    <row r="13">
      <c r="A13" s="4" t="inlineStr">
        <is>
          <t>S12</t>
        </is>
      </c>
      <c r="B13" s="5" t="n">
        <v>17</v>
      </c>
      <c r="C13" s="5" t="n">
        <v>19.5</v>
      </c>
      <c r="D13" s="5">
        <f>C13-B13</f>
        <v/>
      </c>
    </row>
    <row r="14">
      <c r="A14" s="2" t="inlineStr">
        <is>
          <t>S13</t>
        </is>
      </c>
      <c r="B14" s="3" t="n">
        <v>14</v>
      </c>
      <c r="C14" s="3" t="n">
        <v>18</v>
      </c>
      <c r="D14" s="3">
        <f>C14-B14</f>
        <v/>
      </c>
    </row>
    <row r="15">
      <c r="A15" s="4" t="inlineStr">
        <is>
          <t>S14</t>
        </is>
      </c>
      <c r="B15" s="5" t="n">
        <v>18</v>
      </c>
      <c r="C15" s="5" t="n">
        <v>20</v>
      </c>
      <c r="D15" s="5">
        <f>C15-B15</f>
        <v/>
      </c>
    </row>
    <row r="16">
      <c r="A16" s="2" t="inlineStr">
        <is>
          <t>S15</t>
        </is>
      </c>
      <c r="B16" s="3" t="n">
        <v>10</v>
      </c>
      <c r="C16" s="3" t="n">
        <v>15</v>
      </c>
      <c r="D16" s="3">
        <f>C16-B16</f>
        <v/>
      </c>
    </row>
    <row r="17">
      <c r="A17" s="4" t="inlineStr">
        <is>
          <t>S16</t>
        </is>
      </c>
      <c r="B17" s="5" t="n">
        <v>11.5</v>
      </c>
      <c r="C17" s="5" t="n">
        <v>16</v>
      </c>
      <c r="D17" s="5">
        <f>C17-B17</f>
        <v/>
      </c>
    </row>
    <row r="18">
      <c r="A18" s="2" t="inlineStr">
        <is>
          <t>S17</t>
        </is>
      </c>
      <c r="B18" s="3" t="n">
        <v>14.75</v>
      </c>
      <c r="C18" s="3" t="n">
        <v>18.75</v>
      </c>
      <c r="D18" s="3">
        <f>C18-B18</f>
        <v/>
      </c>
    </row>
    <row r="19">
      <c r="A19" s="4" t="inlineStr">
        <is>
          <t>S18</t>
        </is>
      </c>
      <c r="B19" s="5" t="n">
        <v>13.5</v>
      </c>
      <c r="C19" s="5" t="n">
        <v>17</v>
      </c>
      <c r="D19" s="5">
        <f>C19-B19</f>
        <v/>
      </c>
    </row>
    <row r="20">
      <c r="A20" s="2" t="inlineStr">
        <is>
          <t>S19</t>
        </is>
      </c>
      <c r="B20" s="3" t="n">
        <v>10</v>
      </c>
      <c r="C20" s="3" t="n">
        <v>14</v>
      </c>
      <c r="D20" s="3">
        <f>C20-B20</f>
        <v/>
      </c>
    </row>
    <row r="21">
      <c r="A21" s="4" t="inlineStr">
        <is>
          <t>S20</t>
        </is>
      </c>
      <c r="B21" s="5" t="n">
        <v>15</v>
      </c>
      <c r="C21" s="5" t="n">
        <v>19.5</v>
      </c>
      <c r="D21" s="5">
        <f>C21-B21</f>
        <v/>
      </c>
    </row>
    <row r="22">
      <c r="A22" s="2" t="inlineStr">
        <is>
          <t>S21</t>
        </is>
      </c>
      <c r="B22" s="3" t="n">
        <v>14</v>
      </c>
      <c r="C22" s="3" t="n">
        <v>18</v>
      </c>
      <c r="D22" s="3">
        <f>C22-B22</f>
        <v/>
      </c>
    </row>
    <row r="23">
      <c r="A23" s="4" t="inlineStr">
        <is>
          <t>S22</t>
        </is>
      </c>
      <c r="B23" s="5" t="n">
        <v>13</v>
      </c>
      <c r="C23" s="5" t="n">
        <v>17</v>
      </c>
      <c r="D23" s="5">
        <f>C23-B23</f>
        <v/>
      </c>
    </row>
    <row r="24">
      <c r="A24" s="2" t="inlineStr">
        <is>
          <t>S23</t>
        </is>
      </c>
      <c r="B24" s="3" t="n">
        <v>12</v>
      </c>
      <c r="C24" s="3" t="n">
        <v>16.75</v>
      </c>
      <c r="D24" s="3">
        <f>C24-B24</f>
        <v/>
      </c>
    </row>
    <row r="25">
      <c r="A25" s="4" t="inlineStr">
        <is>
          <t>S24</t>
        </is>
      </c>
      <c r="B25" s="5" t="n">
        <v>14.75</v>
      </c>
      <c r="C25" s="5" t="n">
        <v>18.5</v>
      </c>
      <c r="D25" s="5">
        <f>C25-B25</f>
        <v/>
      </c>
    </row>
    <row r="26">
      <c r="A26" s="2" t="inlineStr">
        <is>
          <t>S25</t>
        </is>
      </c>
      <c r="B26" s="3" t="n">
        <v>16.75</v>
      </c>
      <c r="C26" s="3" t="n">
        <v>19.75</v>
      </c>
      <c r="D26" s="3">
        <f>C26-B26</f>
        <v/>
      </c>
    </row>
    <row r="27">
      <c r="A27" s="4" t="inlineStr">
        <is>
          <t>S26</t>
        </is>
      </c>
      <c r="B27" s="5" t="n">
        <v>17</v>
      </c>
      <c r="C27" s="5" t="n">
        <v>20</v>
      </c>
      <c r="D27" s="5">
        <f>C27-B27</f>
        <v/>
      </c>
    </row>
    <row r="28">
      <c r="A28" s="2" t="inlineStr">
        <is>
          <t>S27</t>
        </is>
      </c>
      <c r="B28" s="3" t="n">
        <v>16</v>
      </c>
      <c r="C28" s="3" t="n">
        <v>19</v>
      </c>
      <c r="D28" s="3">
        <f>C28-B28</f>
        <v/>
      </c>
    </row>
    <row r="29">
      <c r="A29" s="4" t="inlineStr">
        <is>
          <t>S28</t>
        </is>
      </c>
      <c r="B29" s="5" t="n">
        <v>11.5</v>
      </c>
      <c r="C29" s="5" t="n">
        <v>16</v>
      </c>
      <c r="D29" s="5">
        <f>C29-B29</f>
        <v/>
      </c>
    </row>
    <row r="30">
      <c r="A30" s="2" t="inlineStr">
        <is>
          <t>S29</t>
        </is>
      </c>
      <c r="B30" s="3" t="n">
        <v>13</v>
      </c>
      <c r="C30" s="3" t="n">
        <v>15</v>
      </c>
      <c r="D30" s="3">
        <f>C30-B30</f>
        <v/>
      </c>
    </row>
    <row r="31">
      <c r="A31" s="4" t="inlineStr">
        <is>
          <t>S30</t>
        </is>
      </c>
      <c r="B31" s="5" t="n">
        <v>14</v>
      </c>
      <c r="C31" s="5" t="n">
        <v>17</v>
      </c>
      <c r="D31" s="5">
        <f>C31-B31</f>
        <v/>
      </c>
    </row>
    <row r="32">
      <c r="A32" s="2" t="inlineStr">
        <is>
          <t>S31</t>
        </is>
      </c>
      <c r="B32" s="3" t="n">
        <v>14.5</v>
      </c>
      <c r="C32" s="3" t="n">
        <v>16.5</v>
      </c>
      <c r="D32" s="3">
        <f>C32-B32</f>
        <v/>
      </c>
    </row>
    <row r="33">
      <c r="A33" s="4" t="inlineStr">
        <is>
          <t>S32</t>
        </is>
      </c>
      <c r="B33" s="5" t="n">
        <v>14</v>
      </c>
      <c r="C33" s="5" t="n">
        <v>15</v>
      </c>
      <c r="D33" s="5">
        <f>C33-B33</f>
        <v/>
      </c>
    </row>
    <row r="34">
      <c r="A34" s="2" t="inlineStr">
        <is>
          <t>S33</t>
        </is>
      </c>
      <c r="B34" s="3" t="n">
        <v>16.5</v>
      </c>
      <c r="C34" s="3" t="n">
        <v>19</v>
      </c>
      <c r="D34" s="3">
        <f>C34-B34</f>
        <v/>
      </c>
    </row>
    <row r="35">
      <c r="A35" s="4" t="inlineStr">
        <is>
          <t>S34</t>
        </is>
      </c>
      <c r="B35" s="5" t="n">
        <v>17</v>
      </c>
      <c r="C35" s="5" t="n">
        <v>19</v>
      </c>
      <c r="D35" s="5">
        <f>C35-B35</f>
        <v/>
      </c>
    </row>
    <row r="36">
      <c r="A36" s="2" t="inlineStr">
        <is>
          <t>S35</t>
        </is>
      </c>
      <c r="B36" s="3" t="n">
        <v>15</v>
      </c>
      <c r="C36" s="3" t="n">
        <v>18.5</v>
      </c>
      <c r="D36" s="3">
        <f>C36-B36</f>
        <v/>
      </c>
    </row>
    <row r="37">
      <c r="A37" s="4" t="inlineStr">
        <is>
          <t>S36</t>
        </is>
      </c>
      <c r="B37" s="5" t="n">
        <v>14</v>
      </c>
      <c r="C37" s="5" t="n">
        <v>16</v>
      </c>
      <c r="D37" s="5">
        <f>C37-B37</f>
        <v/>
      </c>
    </row>
    <row r="38">
      <c r="A38" s="2" t="inlineStr">
        <is>
          <t>S37</t>
        </is>
      </c>
      <c r="B38" s="3" t="n">
        <v>12</v>
      </c>
      <c r="C38" s="3" t="n">
        <v>16</v>
      </c>
      <c r="D38" s="3">
        <f>C38-B38</f>
        <v/>
      </c>
    </row>
    <row r="39">
      <c r="A39" s="4" t="inlineStr">
        <is>
          <t>S38</t>
        </is>
      </c>
      <c r="B39" s="5" t="n">
        <v>11</v>
      </c>
      <c r="C39" s="5" t="n">
        <v>14</v>
      </c>
      <c r="D39" s="5">
        <f>C39-B39</f>
        <v/>
      </c>
    </row>
    <row r="40">
      <c r="A40" s="2" t="inlineStr">
        <is>
          <t>S39</t>
        </is>
      </c>
      <c r="B40" s="3" t="n">
        <v>15</v>
      </c>
      <c r="C40" s="3" t="n">
        <v>17</v>
      </c>
      <c r="D40" s="3">
        <f>C40-B40</f>
        <v/>
      </c>
    </row>
    <row r="41">
      <c r="A41" s="4" t="inlineStr">
        <is>
          <t>S40</t>
        </is>
      </c>
      <c r="B41" s="5" t="n">
        <v>17</v>
      </c>
      <c r="C41" s="5" t="n">
        <v>18</v>
      </c>
      <c r="D41" s="5">
        <f>C41-B41</f>
        <v/>
      </c>
    </row>
    <row r="42">
      <c r="A42" s="2" t="inlineStr">
        <is>
          <t>S41</t>
        </is>
      </c>
      <c r="B42" s="3" t="n">
        <v>16</v>
      </c>
      <c r="C42" s="3" t="n">
        <v>18</v>
      </c>
      <c r="D42" s="3">
        <f>C42-B42</f>
        <v/>
      </c>
    </row>
    <row r="43">
      <c r="A43" s="4" t="inlineStr">
        <is>
          <t>S42</t>
        </is>
      </c>
      <c r="B43" s="5" t="n">
        <v>16.5</v>
      </c>
      <c r="C43" s="5" t="n">
        <v>17.75</v>
      </c>
      <c r="D43" s="5">
        <f>C43-B43</f>
        <v/>
      </c>
    </row>
    <row r="44">
      <c r="A44" s="2" t="inlineStr">
        <is>
          <t>S43</t>
        </is>
      </c>
      <c r="B44" s="3" t="n">
        <v>11.75</v>
      </c>
      <c r="C44" s="3" t="n">
        <v>15</v>
      </c>
      <c r="D44" s="3">
        <f>C44-B44</f>
        <v/>
      </c>
    </row>
    <row r="45">
      <c r="A45" s="4" t="inlineStr">
        <is>
          <t>S44</t>
        </is>
      </c>
      <c r="B45" s="5" t="n">
        <v>16.75</v>
      </c>
      <c r="C45" s="5" t="n">
        <v>19</v>
      </c>
      <c r="D45" s="5">
        <f>C45-B45</f>
        <v/>
      </c>
    </row>
    <row r="46">
      <c r="A46" s="2" t="inlineStr">
        <is>
          <t>S45</t>
        </is>
      </c>
      <c r="B46" s="3" t="n">
        <v>6</v>
      </c>
      <c r="C46" s="3" t="n">
        <v>14</v>
      </c>
      <c r="D46" s="3">
        <f>C46-B46</f>
        <v/>
      </c>
    </row>
    <row r="47">
      <c r="A47" s="4" t="inlineStr">
        <is>
          <t>S46</t>
        </is>
      </c>
      <c r="B47" s="5" t="n">
        <v>7</v>
      </c>
      <c r="C47" s="5" t="n">
        <v>13.5</v>
      </c>
      <c r="D47" s="5">
        <f>C47-B47</f>
        <v/>
      </c>
    </row>
    <row r="48">
      <c r="A48" s="2" t="inlineStr">
        <is>
          <t>S47</t>
        </is>
      </c>
      <c r="B48" s="3" t="n">
        <v>18</v>
      </c>
      <c r="C48" s="3" t="n">
        <v>20</v>
      </c>
      <c r="D48" s="3">
        <f>C48-B48</f>
        <v/>
      </c>
    </row>
    <row r="49">
      <c r="A49" s="4" t="inlineStr">
        <is>
          <t>S48</t>
        </is>
      </c>
      <c r="B49" s="5" t="n">
        <v>10</v>
      </c>
      <c r="C49" s="5" t="n">
        <v>14</v>
      </c>
      <c r="D49" s="5">
        <f>C49-B49</f>
        <v/>
      </c>
    </row>
    <row r="50">
      <c r="A50" s="2" t="inlineStr">
        <is>
          <t>S49</t>
        </is>
      </c>
      <c r="B50" s="3" t="n">
        <v>17</v>
      </c>
      <c r="C50" s="3" t="n">
        <v>19.75</v>
      </c>
      <c r="D50" s="3">
        <f>C50-B50</f>
        <v/>
      </c>
    </row>
    <row r="51">
      <c r="A51" s="4" t="inlineStr">
        <is>
          <t>S50</t>
        </is>
      </c>
      <c r="B51" s="5" t="n">
        <v>12</v>
      </c>
      <c r="C51" s="5" t="n">
        <v>16</v>
      </c>
      <c r="D51" s="5">
        <f>C51-B51</f>
        <v/>
      </c>
    </row>
  </sheetData>
  <autoFilter ref="A1:D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42" customWidth="1" min="3" max="3"/>
    <col width="48" customWidth="1" min="4" max="4"/>
    <col width="25" customWidth="1" min="5" max="5"/>
    <col width="24" customWidth="1" min="6" max="6"/>
    <col width="78" customWidth="1" min="7" max="7"/>
    <col width="34" customWidth="1" min="8" max="8"/>
    <col width="18" customWidth="1" min="9" max="9"/>
  </cols>
  <sheetData>
    <row r="1" ht="30" customHeight="1">
      <c r="A1" s="8" t="inlineStr">
        <is>
          <t>Item_Number</t>
        </is>
      </c>
      <c r="B1" s="8" t="inlineStr">
        <is>
          <t>Subscale</t>
        </is>
      </c>
      <c r="C1" s="8" t="inlineStr">
        <is>
          <t>Item_Statement_FA</t>
        </is>
      </c>
      <c r="D1" s="8" t="inlineStr">
        <is>
          <t>Item_Statement_EN</t>
        </is>
      </c>
      <c r="E1" s="8" t="inlineStr">
        <is>
          <t>Affirmative_Percentage</t>
        </is>
      </c>
      <c r="F1" s="8" t="inlineStr">
        <is>
          <t>Affirmative_Count_N50</t>
        </is>
      </c>
      <c r="G1" s="8" t="inlineStr">
        <is>
          <t>Notes</t>
        </is>
      </c>
      <c r="H1" s="8" t="inlineStr">
        <is>
          <t>Statistic</t>
        </is>
      </c>
      <c r="I1" t="inlineStr">
        <is>
          <t>Statistic_Value</t>
        </is>
      </c>
    </row>
    <row r="2">
      <c r="A2" t="n">
        <v>1</v>
      </c>
      <c r="B2" t="inlineStr">
        <is>
          <t>Subscale 1 (Items 1-4)</t>
        </is>
      </c>
      <c r="C2" t="inlineStr">
        <is>
          <t>متن دقیق گویه در منابع موجود ثبت نشده است</t>
        </is>
      </c>
      <c r="D2" t="inlineStr">
        <is>
          <t>Exact item wording not recorded in available source</t>
        </is>
      </c>
      <c r="E2" s="9" t="n">
        <v>60</v>
      </c>
      <c r="F2" t="n">
        <v>30</v>
      </c>
      <c r="G2" t="inlineStr">
        <is>
          <t>Data source: individual responses of 50 students (binary 1=yes/0=no).</t>
        </is>
      </c>
    </row>
    <row r="3">
      <c r="A3" t="n">
        <v>2</v>
      </c>
      <c r="B3" t="inlineStr">
        <is>
          <t>Subscale 1 (Items 1-4)</t>
        </is>
      </c>
      <c r="C3" t="inlineStr">
        <is>
          <t>متن دقیق گویه در منابع موجود ثبت نشده است</t>
        </is>
      </c>
      <c r="D3" t="inlineStr">
        <is>
          <t>Exact item wording not recorded in available source</t>
        </is>
      </c>
      <c r="E3" s="9" t="n">
        <v>68</v>
      </c>
      <c r="F3" t="n">
        <v>34</v>
      </c>
      <c r="G3" t="inlineStr">
        <is>
          <t>Data source: individual responses of 50 students (binary 1=yes/0=no).</t>
        </is>
      </c>
    </row>
    <row r="4">
      <c r="A4" t="n">
        <v>3</v>
      </c>
      <c r="B4" t="inlineStr">
        <is>
          <t>Subscale 1 (Items 1-4)</t>
        </is>
      </c>
      <c r="C4" t="inlineStr">
        <is>
          <t>متن دقیق گویه در منابع موجود ثبت نشده است</t>
        </is>
      </c>
      <c r="D4" t="inlineStr">
        <is>
          <t>Exact item wording not recorded in available source</t>
        </is>
      </c>
      <c r="E4" s="9" t="n">
        <v>56.00000000000001</v>
      </c>
      <c r="F4" t="n">
        <v>28</v>
      </c>
      <c r="G4" t="inlineStr">
        <is>
          <t>Data source: individual responses of 50 students (binary 1=yes/0=no).</t>
        </is>
      </c>
    </row>
    <row r="5">
      <c r="A5" t="n">
        <v>4</v>
      </c>
      <c r="B5" t="inlineStr">
        <is>
          <t>Subscale 1 (Items 1-4)</t>
        </is>
      </c>
      <c r="C5" t="inlineStr">
        <is>
          <t>متن دقیق گویه در منابع موجود ثبت نشده است</t>
        </is>
      </c>
      <c r="D5" t="inlineStr">
        <is>
          <t>Exact item wording not recorded in available source</t>
        </is>
      </c>
      <c r="E5" s="9" t="n">
        <v>68</v>
      </c>
      <c r="F5" t="n">
        <v>34</v>
      </c>
      <c r="G5" t="inlineStr">
        <is>
          <t>Data source: individual responses of 50 students (binary 1=yes/0=no).</t>
        </is>
      </c>
    </row>
    <row r="6">
      <c r="A6" t="n">
        <v>5</v>
      </c>
      <c r="B6" t="inlineStr">
        <is>
          <t>Subscale 2 (Items 5-8)</t>
        </is>
      </c>
      <c r="C6" t="inlineStr">
        <is>
          <t>متن دقیق گویه در منابع موجود ثبت نشده است</t>
        </is>
      </c>
      <c r="D6" t="inlineStr">
        <is>
          <t>Exact item wording not recorded in available source</t>
        </is>
      </c>
      <c r="E6" s="9" t="n">
        <v>100</v>
      </c>
      <c r="F6" t="n">
        <v>50</v>
      </c>
      <c r="G6" t="inlineStr">
        <is>
          <t>Data source: individual responses of 50 students (binary 1=yes/0=no).</t>
        </is>
      </c>
    </row>
    <row r="7">
      <c r="A7" t="n">
        <v>6</v>
      </c>
      <c r="B7" t="inlineStr">
        <is>
          <t>Subscale 2 (Items 5-8)</t>
        </is>
      </c>
      <c r="C7" t="inlineStr">
        <is>
          <t>متن دقیق گویه در منابع موجود ثبت نشده است</t>
        </is>
      </c>
      <c r="D7" t="inlineStr">
        <is>
          <t>Exact item wording not recorded in available source</t>
        </is>
      </c>
      <c r="E7" s="9" t="n">
        <v>100</v>
      </c>
      <c r="F7" t="n">
        <v>50</v>
      </c>
      <c r="G7" t="inlineStr">
        <is>
          <t>Data source: individual responses of 50 students (binary 1=yes/0=no).</t>
        </is>
      </c>
    </row>
    <row r="8">
      <c r="A8" t="n">
        <v>7</v>
      </c>
      <c r="B8" t="inlineStr">
        <is>
          <t>Subscale 2 (Items 5-8)</t>
        </is>
      </c>
      <c r="C8" t="inlineStr">
        <is>
          <t>متن دقیق گویه در منابع موجود ثبت نشده است</t>
        </is>
      </c>
      <c r="D8" t="inlineStr">
        <is>
          <t>Exact item wording not recorded in available source</t>
        </is>
      </c>
      <c r="E8" s="9" t="n">
        <v>60</v>
      </c>
      <c r="F8" t="n">
        <v>30</v>
      </c>
      <c r="G8" t="inlineStr">
        <is>
          <t>Data source: individual responses of 50 students (binary 1=yes/0=no).</t>
        </is>
      </c>
    </row>
    <row r="9">
      <c r="A9" t="n">
        <v>8</v>
      </c>
      <c r="B9" t="inlineStr">
        <is>
          <t>Subscale 2 (Items 5-8)</t>
        </is>
      </c>
      <c r="C9" t="inlineStr">
        <is>
          <t>متن دقیق گویه در منابع موجود ثبت نشده است</t>
        </is>
      </c>
      <c r="D9" t="inlineStr">
        <is>
          <t>Exact item wording not recorded in available source</t>
        </is>
      </c>
      <c r="E9" s="9" t="n">
        <v>82</v>
      </c>
      <c r="F9" t="n">
        <v>41</v>
      </c>
      <c r="G9" t="inlineStr">
        <is>
          <t>Data source: individual responses of 50 students (binary 1=yes/0=no).</t>
        </is>
      </c>
    </row>
    <row r="10">
      <c r="A10" t="n">
        <v>9</v>
      </c>
      <c r="B10" t="inlineStr">
        <is>
          <t>Subscale 3 (Items 9-12)</t>
        </is>
      </c>
      <c r="C10" t="inlineStr">
        <is>
          <t>متن دقیق گویه در منابع موجود ثبت نشده است</t>
        </is>
      </c>
      <c r="D10" t="inlineStr">
        <is>
          <t>Exact item wording not recorded in available source</t>
        </is>
      </c>
      <c r="E10" s="9" t="n">
        <v>42</v>
      </c>
      <c r="F10" t="n">
        <v>21</v>
      </c>
      <c r="G10" t="inlineStr">
        <is>
          <t>Data source: individual responses of 50 students (binary 1=yes/0=no).</t>
        </is>
      </c>
    </row>
    <row r="11">
      <c r="A11" t="n">
        <v>10</v>
      </c>
      <c r="B11" t="inlineStr">
        <is>
          <t>Subscale 3 (Items 9-12)</t>
        </is>
      </c>
      <c r="C11" t="inlineStr">
        <is>
          <t>متن دقیق گویه در منابع موجود ثبت نشده است</t>
        </is>
      </c>
      <c r="D11" t="inlineStr">
        <is>
          <t>Exact item wording not recorded in available source</t>
        </is>
      </c>
      <c r="E11" s="9" t="n">
        <v>57.99999999999999</v>
      </c>
      <c r="F11" t="n">
        <v>29</v>
      </c>
      <c r="G11" t="inlineStr">
        <is>
          <t>Data source: individual responses of 50 students (binary 1=yes/0=no).</t>
        </is>
      </c>
    </row>
    <row r="12">
      <c r="A12" t="n">
        <v>11</v>
      </c>
      <c r="B12" t="inlineStr">
        <is>
          <t>Subscale 3 (Items 9-12)</t>
        </is>
      </c>
      <c r="C12" t="inlineStr">
        <is>
          <t>متن دقیق گویه در منابع موجود ثبت نشده است</t>
        </is>
      </c>
      <c r="D12" t="inlineStr">
        <is>
          <t>Exact item wording not recorded in available source</t>
        </is>
      </c>
      <c r="E12" s="9" t="n">
        <v>18</v>
      </c>
      <c r="F12" t="n">
        <v>9</v>
      </c>
      <c r="G12" t="inlineStr">
        <is>
          <t>Data source: individual responses of 50 students (binary 1=yes/0=no).</t>
        </is>
      </c>
    </row>
    <row r="13">
      <c r="A13" t="n">
        <v>12</v>
      </c>
      <c r="B13" t="inlineStr">
        <is>
          <t>Subscale 3 (Items 9-12)</t>
        </is>
      </c>
      <c r="C13" t="inlineStr">
        <is>
          <t>متن دقیق گویه در منابع موجود ثبت نشده است</t>
        </is>
      </c>
      <c r="D13" t="inlineStr">
        <is>
          <t>Exact item wording not recorded in available source</t>
        </is>
      </c>
      <c r="E13" s="9" t="n">
        <v>44</v>
      </c>
      <c r="F13" t="n">
        <v>22</v>
      </c>
      <c r="G13" t="inlineStr">
        <is>
          <t>Data source: individual responses of 50 students (binary 1=yes/0=no).</t>
        </is>
      </c>
    </row>
    <row r="14">
      <c r="E14" s="9" t="n">
        <v>63</v>
      </c>
      <c r="G14" t="inlineStr">
        <is>
          <t>Mean score 2.52/4; mean of Q1-Q4 across 50 students.</t>
        </is>
      </c>
      <c r="H14" t="inlineStr">
        <is>
          <t>Subscale 1 mean percentage</t>
        </is>
      </c>
      <c r="I14" s="9" t="n">
        <v>63</v>
      </c>
    </row>
    <row r="15">
      <c r="E15" s="9" t="n">
        <v>85.5</v>
      </c>
      <c r="G15" t="inlineStr">
        <is>
          <t>Mean score 3.42/4; mean of Q5-Q8 across 50 students.</t>
        </is>
      </c>
      <c r="H15" t="inlineStr">
        <is>
          <t>Subscale 2 mean percentage</t>
        </is>
      </c>
      <c r="I15" s="9" t="n">
        <v>85.5</v>
      </c>
    </row>
    <row r="16">
      <c r="E16" s="9" t="n">
        <v>40.5</v>
      </c>
      <c r="G16" t="inlineStr">
        <is>
          <t>Mean score 1.62/4; mean of Q9-Q12 across 50 students.</t>
        </is>
      </c>
      <c r="H16" t="inlineStr">
        <is>
          <t>Subscale 3 mean percentage</t>
        </is>
      </c>
      <c r="I16" s="9" t="n">
        <v>40.5</v>
      </c>
    </row>
    <row r="17">
      <c r="E17" s="9" t="n">
        <v>63</v>
      </c>
      <c r="G17" t="inlineStr">
        <is>
          <t>Mean total score 7.56/12 across 50 students.</t>
        </is>
      </c>
      <c r="H17" t="inlineStr">
        <is>
          <t>Overall mean percentage</t>
        </is>
      </c>
      <c r="I17" s="9" t="n">
        <v>63</v>
      </c>
    </row>
    <row r="18">
      <c r="G18" t="inlineStr">
        <is>
          <t>Internal consistency; binary items.</t>
        </is>
      </c>
      <c r="H18" t="inlineStr">
        <is>
          <t>Cronbach alpha - total (12 items)</t>
        </is>
      </c>
      <c r="I18" s="9" t="n">
        <v>0.7647560999821318</v>
      </c>
    </row>
    <row r="19">
      <c r="G19" t="inlineStr">
        <is>
          <t>Items 1-4; binary items.</t>
        </is>
      </c>
      <c r="H19" t="inlineStr">
        <is>
          <t>Cronbach alpha - Subscale 1</t>
        </is>
      </c>
      <c r="I19" s="9" t="n">
        <v>0.5884254768832848</v>
      </c>
    </row>
    <row r="20">
      <c r="G20" t="inlineStr">
        <is>
          <t>Items 5-8; binary items.</t>
        </is>
      </c>
      <c r="H20" t="inlineStr">
        <is>
          <t>Cronbach alpha - Subscale 2</t>
        </is>
      </c>
      <c r="I20" s="9" t="n">
        <v>0.3463203463203467</v>
      </c>
    </row>
    <row r="21">
      <c r="G21" t="inlineStr">
        <is>
          <t>Items 9-12; binary items.</t>
        </is>
      </c>
      <c r="H21" t="inlineStr">
        <is>
          <t>Cronbach alpha - Subscale 3</t>
        </is>
      </c>
      <c r="I21" s="9" t="n">
        <v>0.5370922562573416</v>
      </c>
    </row>
  </sheetData>
  <autoFilter ref="A1:H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8" customWidth="1" min="4" max="4"/>
    <col width="72" customWidth="1" min="5" max="5"/>
  </cols>
  <sheetData>
    <row r="1" ht="30" customHeight="1">
      <c r="A1" s="1" t="inlineStr">
        <is>
          <t>Statistic</t>
        </is>
      </c>
      <c r="B1" s="1" t="inlineStr">
        <is>
          <t>Pre_Test</t>
        </is>
      </c>
      <c r="C1" s="1" t="inlineStr">
        <is>
          <t>Post_Test</t>
        </is>
      </c>
      <c r="D1" s="1" t="inlineStr">
        <is>
          <t>Gain / Change</t>
        </is>
      </c>
      <c r="E1" s="1" t="inlineStr">
        <is>
          <t>Notes</t>
        </is>
      </c>
    </row>
    <row r="2" ht="30" customHeight="1">
      <c r="A2" s="2" t="inlineStr">
        <is>
          <t>N</t>
        </is>
      </c>
      <c r="B2" s="2" t="n">
        <v>50</v>
      </c>
      <c r="C2" s="2" t="n">
        <v>50</v>
      </c>
      <c r="D2" s="2" t="n">
        <v>50</v>
      </c>
      <c r="E2" s="2" t="inlineStr">
        <is>
          <t>50 paired achievement records</t>
        </is>
      </c>
    </row>
    <row r="3" ht="30" customHeight="1">
      <c r="A3" s="4" t="inlineStr">
        <is>
          <t>Mean</t>
        </is>
      </c>
      <c r="B3" s="6" t="n">
        <v>14.07</v>
      </c>
      <c r="C3" s="6" t="n">
        <v>17.35</v>
      </c>
      <c r="D3" s="6" t="n">
        <v>3.28</v>
      </c>
      <c r="E3" s="4" t="inlineStr">
        <is>
          <t>Gain = Post − Pre</t>
        </is>
      </c>
    </row>
    <row r="4" ht="30" customHeight="1">
      <c r="A4" s="2" t="inlineStr">
        <is>
          <t>SD (sample)</t>
        </is>
      </c>
      <c r="B4" s="7" t="n">
        <v>2.71289438024545</v>
      </c>
      <c r="C4" s="7" t="n">
        <v>1.907289988974098</v>
      </c>
      <c r="D4" s="7" t="n">
        <v>1.289320339859536</v>
      </c>
      <c r="E4" s="2" t="inlineStr">
        <is>
          <t>Sample standard deviation</t>
        </is>
      </c>
    </row>
    <row r="5" ht="30" customHeight="1">
      <c r="A5" s="4" t="inlineStr">
        <is>
          <t>Shapiro-Wilk W</t>
        </is>
      </c>
      <c r="B5" s="6" t="n">
        <v>0.9398835137891506</v>
      </c>
      <c r="C5" s="6" t="n">
        <v>0.941189547686608</v>
      </c>
      <c r="D5" s="6" t="n">
        <v>0.9144105314721785</v>
      </c>
      <c r="E5" s="4" t="inlineStr">
        <is>
          <t>Normality test; columns are Pre, Post, Gain</t>
        </is>
      </c>
    </row>
    <row r="6" ht="30" customHeight="1">
      <c r="A6" s="2" t="inlineStr">
        <is>
          <t>Shapiro-Wilk p-value</t>
        </is>
      </c>
      <c r="B6" s="7" t="n">
        <v>0.01333047216377635</v>
      </c>
      <c r="C6" s="7" t="n">
        <v>0.01501842161368548</v>
      </c>
      <c r="D6" s="7" t="n">
        <v>0.001489685612955612</v>
      </c>
      <c r="E6" s="2" t="inlineStr">
        <is>
          <t>Values below .05 indicate evidence against normality</t>
        </is>
      </c>
    </row>
    <row r="7" ht="30" customHeight="1">
      <c r="A7" s="4" t="inlineStr">
        <is>
          <t>Paired t-test t</t>
        </is>
      </c>
      <c r="B7" s="4" t="n"/>
      <c r="C7" s="4" t="n"/>
      <c r="D7" s="4" t="n">
        <v>17.98862680274284</v>
      </c>
      <c r="E7" s="4" t="inlineStr">
        <is>
          <t>Post vs Pre; df=49</t>
        </is>
      </c>
    </row>
    <row r="8" ht="30" customHeight="1">
      <c r="A8" s="2" t="inlineStr">
        <is>
          <t>Paired t-test df</t>
        </is>
      </c>
      <c r="B8" s="7" t="n"/>
      <c r="C8" s="7" t="n"/>
      <c r="D8" s="7" t="n">
        <v>49</v>
      </c>
      <c r="E8" s="2" t="inlineStr">
        <is>
          <t>Two-sided paired-samples t-test</t>
        </is>
      </c>
    </row>
    <row r="9" ht="30" customHeight="1">
      <c r="A9" s="4" t="inlineStr">
        <is>
          <t>Paired t-test p-value</t>
        </is>
      </c>
      <c r="B9" s="4" t="n"/>
      <c r="C9" s="4" t="n"/>
      <c r="D9" s="6" t="n">
        <v>3.15198238812868e-23</v>
      </c>
      <c r="E9" s="4" t="inlineStr">
        <is>
          <t>Two-sided</t>
        </is>
      </c>
    </row>
    <row r="10" ht="30" customHeight="1">
      <c r="A10" s="2" t="inlineStr">
        <is>
          <t>Cohen's dz</t>
        </is>
      </c>
      <c r="B10" s="7" t="n"/>
      <c r="C10" s="7" t="n"/>
      <c r="D10" s="7" t="n">
        <v>2.543975999290709</v>
      </c>
      <c r="E10" s="2" t="inlineStr">
        <is>
          <t>Paired effect size</t>
        </is>
      </c>
    </row>
    <row r="11" ht="30" customHeight="1">
      <c r="A11" s="4" t="inlineStr">
        <is>
          <t>Subscale mean affirmative % (Items 1-4)</t>
        </is>
      </c>
      <c r="B11" s="6" t="n"/>
      <c r="C11" s="6" t="n"/>
      <c r="D11" s="6" t="n">
        <v>63</v>
      </c>
      <c r="E11" s="4" t="inlineStr">
        <is>
          <t>Recomputed from individual binary Q1-Q4 responses; N=50.</t>
        </is>
      </c>
    </row>
    <row r="12" ht="30" customHeight="1">
      <c r="A12" s="2" t="inlineStr">
        <is>
          <t>Subscale mean affirmative % (Items 5-8)</t>
        </is>
      </c>
      <c r="B12" s="7" t="n"/>
      <c r="C12" s="7" t="n"/>
      <c r="D12" s="7" t="n">
        <v>85.5</v>
      </c>
      <c r="E12" s="2" t="inlineStr">
        <is>
          <t>Recomputed from individual binary Q5-Q8 responses; N=50.</t>
        </is>
      </c>
    </row>
    <row r="13" ht="30" customHeight="1">
      <c r="A13" s="4" t="inlineStr">
        <is>
          <t>Subscale mean affirmative % (Items 9-12)</t>
        </is>
      </c>
      <c r="B13" s="6" t="n"/>
      <c r="C13" s="6" t="n"/>
      <c r="D13" s="6" t="n">
        <v>40.5</v>
      </c>
      <c r="E13" s="4" t="inlineStr">
        <is>
          <t>Recomputed from individual binary Q9-Q12 responses; N=50.</t>
        </is>
      </c>
    </row>
    <row r="14" ht="30" customHeight="1">
      <c r="A14" s="2" t="inlineStr">
        <is>
          <t>Overall mean affirmative % (12 items)</t>
        </is>
      </c>
      <c r="B14" s="7" t="n"/>
      <c r="C14" s="7" t="n"/>
      <c r="D14" s="7" t="n">
        <v>63</v>
      </c>
      <c r="E14" s="2" t="inlineStr">
        <is>
          <t>Person-level mean total / 12; recomputed from Q1-Q12; N=50.</t>
        </is>
      </c>
    </row>
    <row r="15" ht="30" customHeight="1">
      <c r="A15" s="4" t="inlineStr">
        <is>
          <t>Cronbach alpha (12 items)</t>
        </is>
      </c>
      <c r="B15" s="6" t="n"/>
      <c r="C15" s="6" t="n"/>
      <c r="D15" s="6" t="n">
        <v>0.7647560999821318</v>
      </c>
      <c r="E15" s="4" t="inlineStr">
        <is>
          <t>Recomputed from 12 binary items.</t>
        </is>
      </c>
    </row>
    <row r="16" ht="30" customHeight="1">
      <c r="A16" s="2" t="inlineStr">
        <is>
          <t>Cronbach alpha (Subscale 1: Items 1-4)</t>
        </is>
      </c>
      <c r="B16" s="7" t="n"/>
      <c r="C16" s="7" t="n"/>
      <c r="D16" s="7" t="n">
        <v>0.5884254768832848</v>
      </c>
      <c r="E16" s="2" t="inlineStr">
        <is>
          <t>Recomputed from binary item responses.</t>
        </is>
      </c>
    </row>
    <row r="17" ht="30" customHeight="1">
      <c r="A17" s="4" t="inlineStr">
        <is>
          <t>Cronbach alpha (Subscale 2: Items 5-8)</t>
        </is>
      </c>
      <c r="B17" s="4" t="n"/>
      <c r="C17" s="4" t="n"/>
      <c r="D17" s="4" t="n">
        <v>0.3463203463203467</v>
      </c>
      <c r="E17" s="4" t="inlineStr">
        <is>
          <t>Recomputed from binary item responses.</t>
        </is>
      </c>
    </row>
    <row r="18" ht="30" customHeight="1">
      <c r="A18" s="2" t="inlineStr">
        <is>
          <t>Cronbach alpha (Subscale 3: Items 9-12)</t>
        </is>
      </c>
      <c r="B18" s="2" t="n"/>
      <c r="C18" s="2" t="n"/>
      <c r="D18" s="2" t="n">
        <v>0.5370922562573416</v>
      </c>
      <c r="E18" s="2" t="inlineStr">
        <is>
          <t>Recomputed from binary item responses.</t>
        </is>
      </c>
    </row>
  </sheetData>
  <autoFilter ref="A1:E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36" customWidth="1" min="3" max="3"/>
    <col width="36" customWidth="1" min="4" max="4"/>
    <col width="36" customWidth="1" min="5" max="5"/>
  </cols>
  <sheetData>
    <row r="1">
      <c r="A1" s="10" t="inlineStr">
        <is>
          <t>Topic</t>
        </is>
      </c>
      <c r="B1" s="10" t="inlineStr">
        <is>
          <t>Documentation</t>
        </is>
      </c>
      <c r="C1" s="10" t="n"/>
      <c r="D1" s="10" t="n"/>
    </row>
    <row r="2">
      <c r="A2" s="11" t="inlineStr">
        <is>
          <t>Authoritative questionnaire source</t>
        </is>
      </c>
      <c r="B2" s="11" t="inlineStr">
        <is>
          <t>Individual-level questionnaire data (50 x 12 binary matrix) in Complete_Individual_Data_and_Questionnaire_Analysis.xlsx, sheet Questionnaire_Responses, is the authoritative source.</t>
        </is>
      </c>
      <c r="C2" s="11" t="n"/>
      <c r="D2" s="11" t="n"/>
    </row>
    <row r="3">
      <c r="A3" s="11" t="inlineStr">
        <is>
          <t>Prior aggregate values</t>
        </is>
      </c>
      <c r="B3" s="11" t="inlineStr">
        <is>
          <t>Old aggregate percentages were approximations and have been replaced with affirmative counts and percentages recomputed from the 50 individual binary responses.</t>
        </is>
      </c>
      <c r="C3" s="11" t="n"/>
      <c r="D3" s="11" t="n"/>
    </row>
    <row r="4">
      <c r="A4" s="11" t="inlineStr">
        <is>
          <t>Scale corrections</t>
        </is>
      </c>
      <c r="B4" s="11" t="inlineStr">
        <is>
          <t>Mismatched Sub/Total columns were corrected by recomputing every scale score directly from its designated Q items: Subscale 1=Q1-Q4, Subscale 2=Q5-Q8, Subscale 3=Q9-Q12, total=Q1-Q12.</t>
        </is>
      </c>
      <c r="C4" s="11" t="n"/>
      <c r="D4" s="11" t="n"/>
    </row>
    <row r="5">
      <c r="A5" s="11" t="inlineStr">
        <is>
          <t>Item wording and labels</t>
        </is>
      </c>
      <c r="B5" s="11" t="inlineStr">
        <is>
          <t>Verbatim item wording was not recorded in available sources. The neutral subscale labels are provisional pending confirmed item wording.</t>
        </is>
      </c>
      <c r="C5" s="11" t="n"/>
      <c r="D5" s="11" t="n"/>
    </row>
    <row r="6">
      <c r="A6" s="11" t="inlineStr">
        <is>
          <t>Reliability caution</t>
        </is>
      </c>
      <c r="B6" s="11" t="inlineStr">
        <is>
          <t>Subscale reliability is low-to-moderate (Cronbach alpha range 0.346-0.588); interpret subscale scores cautiously. Total-scale alpha=0.765.</t>
        </is>
      </c>
      <c r="C6" s="11" t="n"/>
      <c r="D6" s="11" t="n"/>
    </row>
    <row r="7">
      <c r="A7" s="11" t="inlineStr">
        <is>
          <t>Computed subscale means</t>
        </is>
      </c>
      <c r="B7" s="11" t="inlineStr">
        <is>
          <t>Mean scores (0-4): Subscale 1=2.52, Subscale 2=3.42, Subscale 3=1.62; percentages: 63.00%, 85.50%, 40.50%.</t>
        </is>
      </c>
      <c r="C7" s="11" t="n"/>
      <c r="D7" s="11" t="n"/>
    </row>
    <row r="8">
      <c r="A8" s="11" t="inlineStr">
        <is>
          <t>Computed total mean</t>
        </is>
      </c>
      <c r="B8" s="11" t="inlineStr">
        <is>
          <t>Mean total score=7.56/12; overall affirmative percentage=63.00%.</t>
        </is>
      </c>
      <c r="C8" s="11" t="n"/>
      <c r="D8" s="11" t="n"/>
    </row>
    <row r="9">
      <c r="A9" s="11" t="inlineStr">
        <is>
          <t>Pearson correlations</t>
        </is>
      </c>
      <c r="B9" s="11" t="inlineStr">
        <is>
          <t>Correlations below use scale scores recomputed from Q responses and achievement measures from Individual_Master_Data (N=50).</t>
        </is>
      </c>
      <c r="C9" s="11" t="n"/>
      <c r="D9" s="11" t="n"/>
    </row>
    <row r="10">
      <c r="A10" s="11" t="inlineStr">
        <is>
          <t>Scale score</t>
        </is>
      </c>
      <c r="B10" s="11" t="inlineStr">
        <is>
          <t>Pre_Test correlation</t>
        </is>
      </c>
      <c r="C10" s="11" t="inlineStr">
        <is>
          <t>Post_Test correlation</t>
        </is>
      </c>
      <c r="D10" s="11" t="inlineStr">
        <is>
          <t>Gain_Score correlation</t>
        </is>
      </c>
    </row>
    <row r="11">
      <c r="A11" s="11" t="inlineStr">
        <is>
          <t>Subscale 1</t>
        </is>
      </c>
      <c r="B11" s="11" t="n">
        <v>-0.06708541440536987</v>
      </c>
      <c r="C11" s="11" t="n">
        <v>-0.002886549098232711</v>
      </c>
      <c r="D11" s="11" t="n">
        <v>0.1368861966129001</v>
      </c>
    </row>
    <row r="12">
      <c r="A12" s="11" t="inlineStr">
        <is>
          <t>Subscale 2</t>
        </is>
      </c>
      <c r="B12" s="11" t="n">
        <v>0.002881656988516407</v>
      </c>
      <c r="C12" s="11" t="n">
        <v>0.05709065381289553</v>
      </c>
      <c r="D12" s="11" t="n">
        <v>0.07839076008247214</v>
      </c>
    </row>
    <row r="13">
      <c r="A13" s="11" t="inlineStr">
        <is>
          <t>Subscale 3</t>
        </is>
      </c>
      <c r="B13" s="11" t="n">
        <v>-0.00257483283664586</v>
      </c>
      <c r="C13" s="11" t="n">
        <v>-0.0008719988361683841</v>
      </c>
      <c r="D13" s="11" t="n">
        <v>0.004127829770037497</v>
      </c>
    </row>
    <row r="14">
      <c r="A14" s="11" t="inlineStr">
        <is>
          <t>Calc_Total (recomputed)</t>
        </is>
      </c>
      <c r="B14" s="11" t="n">
        <v>-0.03221778313652086</v>
      </c>
      <c r="C14" s="11" t="n">
        <v>0.01350125097820929</v>
      </c>
      <c r="D14" s="11" t="n">
        <v>0.08776270733208708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2026-09-28T04:50:28Z</dcterms:created>
  <dcterms:modified xmlns:dcterms="http://purl.org/dc/terms/" xmlns:xsi="http://www.w3.org/2001/XMLSchema-instance" xsi:type="dcterms:W3CDTF">2026-09-28T05:24:04Z</dcterms:modified>
</cp:coreProperties>
</file>